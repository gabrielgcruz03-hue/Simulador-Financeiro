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CA9056A-8E38-4983-B85B-82C44A9358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Planilha2" sheetId="2" r:id="rId2"/>
  </sheets>
  <definedNames>
    <definedName name="aport">APP!$D$18:$D$18</definedName>
    <definedName name="patrimonio">APP!$D$21:$D$21</definedName>
    <definedName name="qtd_anos">APP!$D$19:$D$19</definedName>
    <definedName name="Rendimento_Carteira">APP!$D$14:$D$14</definedName>
    <definedName name="salario">APP!$D$13:$D$13</definedName>
    <definedName name="sugestao_investimento">APP!$D$15:$D$15</definedName>
    <definedName name="tx_mensal">APP!$D$20:$D$20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C16" i="2"/>
  <c r="C17" i="2"/>
  <c r="C18" i="2"/>
  <c r="C19" i="2"/>
  <c r="C20" i="2"/>
  <c r="C10" i="2"/>
  <c r="C11" i="2"/>
  <c r="C12" i="2"/>
  <c r="C13" i="2"/>
  <c r="C14" i="2"/>
  <c r="C15" i="2"/>
  <c r="C9" i="2"/>
  <c r="C4" i="2"/>
  <c r="C5" i="2"/>
  <c r="C6" i="2"/>
  <c r="C7" i="2"/>
  <c r="C8" i="2"/>
  <c r="C3" i="2"/>
  <c r="C33" i="1" a="1"/>
  <c r="C33" i="1"/>
  <c r="D21" i="1" a="1"/>
  <c r="D21" i="1"/>
  <c r="D22" i="1" a="1"/>
  <c r="D22" i="1" s="1"/>
  <c r="C26" i="1"/>
  <c r="D26" i="1" s="1"/>
  <c r="C27" i="1"/>
  <c r="D27" i="1" s="1"/>
  <c r="C28" i="1"/>
  <c r="D28" i="1" s="1"/>
  <c r="C29" i="1"/>
  <c r="D29" i="1" s="1"/>
  <c r="C25" i="1"/>
  <c r="D25" i="1" s="1" a="1"/>
  <c r="D25" i="1" s="1"/>
  <c r="C37" i="1" l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D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<sst xmlns="http://schemas.openxmlformats.org/spreadsheetml/2006/main" count="69" uniqueCount="34">
  <si>
    <t>CONFIGURAÇÕES</t>
  </si>
  <si>
    <t>Salário</t>
  </si>
  <si>
    <t>Rendimento Carteira</t>
  </si>
  <si>
    <t>Sugestão de Investimento(30%)</t>
  </si>
  <si>
    <t>INVESTIMENTO MENSAL</t>
  </si>
  <si>
    <t>Qunato investir por mês?</t>
  </si>
  <si>
    <t xml:space="preserve">Por Quanto Anos? </t>
  </si>
  <si>
    <t>Taxa de Rendimento mensal?</t>
  </si>
  <si>
    <t>Patrimônio acumulado?</t>
  </si>
  <si>
    <t>Dividendos mensais?</t>
  </si>
  <si>
    <t>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</si>
  <si>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</si>
  <si>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</si>
  <si>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</si>
  <si>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</si>
  <si>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</si>
  <si>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</si>
  <si>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</si>
  <si>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</si>
  <si>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</si>
  <si>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</si>
  <si>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</si>
  <si>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</si>
  <si>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</si>
  <si>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</si>
  <si>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</si>
  <si>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</si>
  <si>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</si>
  <si>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</si>
  <si>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</si>
  <si>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TIPOS DE FII</t>
  </si>
  <si>
    <t>%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</si>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</sst>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8870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/>
    <xf numFmtId="0" fontId="0" fillId="6" borderId="0" xfId="0" applyFill="1"/>
    <xf numFmtId="164" fontId="0" fillId="6" borderId="0" xfId="0" applyNumberFormat="1" applyFill="1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4" fontId="0" fillId="6" borderId="0" xfId="0" applyNumberForma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2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indent="1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indent="1"/>
    </xf>
    <xf numFmtId="16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0" fontId="4" fillId="2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left" indent="1"/>
    </xf>
    <xf numFmtId="8" fontId="4" fillId="7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indent="1"/>
    </xf>
    <xf numFmtId="8" fontId="0" fillId="7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887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3-4A55-BD6F-5B540FAED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0</xdr:rowOff>
    </xdr:from>
    <xdr:to>
      <xdr:col>4</xdr:col>
      <xdr:colOff>19050</xdr:colOff>
      <xdr:row>10</xdr:row>
      <xdr:rowOff>180975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5F45BFE-A6DE-E252-090F-7E0E34028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798"/>
        <a:stretch>
          <a:fillRect/>
        </a:stretch>
      </xdr:blipFill>
      <xdr:spPr>
        <a:xfrm>
          <a:off x="590550" y="0"/>
          <a:ext cx="6096000" cy="2085975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42</xdr:row>
      <xdr:rowOff>114300</xdr:rowOff>
    </xdr:from>
    <xdr:to>
      <xdr:col>3</xdr:col>
      <xdr:colOff>1076325</xdr:colOff>
      <xdr:row>57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569E5-6A1F-8920-56F4-F167C6C000CC}"/>
            </a:ext>
            <a:ext uri="{147F2762-F138-4A5C-976F-8EAC2B608ADB}">
              <a16:predDERef xmlns:a16="http://schemas.microsoft.com/office/drawing/2014/main" pred="{85F45BFE-A6DE-E252-090F-7E0E34028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J43"/>
  <sheetViews>
    <sheetView showGridLines="0" showRowColHeaders="0" tabSelected="1" workbookViewId="0">
      <selection activeCell="E22" sqref="E22"/>
    </sheetView>
  </sheetViews>
  <sheetFormatPr defaultColWidth="0" defaultRowHeight="15"/>
  <cols>
    <col min="1" max="1" width="9.140625" customWidth="1"/>
    <col min="2" max="2" width="55.5703125" customWidth="1"/>
    <col min="3" max="3" width="19" bestFit="1" customWidth="1"/>
    <col min="4" max="4" width="16.28515625" customWidth="1"/>
    <col min="5" max="5" width="10.28515625" customWidth="1"/>
    <col min="6" max="6" width="2.42578125" customWidth="1"/>
    <col min="7" max="7" width="2" customWidth="1"/>
    <col min="8" max="8" width="1" customWidth="1"/>
    <col min="9" max="9" width="2.140625" customWidth="1"/>
  </cols>
  <sheetData>
    <row r="12" spans="2:10" ht="33.75" customHeight="1">
      <c r="B12" s="18" t="s">
        <v>0</v>
      </c>
      <c r="C12" s="18"/>
      <c r="D12" s="18"/>
      <c r="J12" s="1"/>
    </row>
    <row r="13" spans="2:10" ht="17.25">
      <c r="B13" s="19" t="s">
        <v>1</v>
      </c>
      <c r="C13" s="19"/>
      <c r="D13" s="20">
        <v>4200</v>
      </c>
      <c r="J13" s="1"/>
    </row>
    <row r="14" spans="2:10" ht="17.25">
      <c r="B14" s="19" t="s">
        <v>2</v>
      </c>
      <c r="C14" s="19"/>
      <c r="D14" s="21">
        <v>6.0000000000000001E-3</v>
      </c>
      <c r="G14" s="4"/>
      <c r="J14" s="1"/>
    </row>
    <row r="15" spans="2:10" ht="17.25">
      <c r="B15" s="19" t="s">
        <v>3</v>
      </c>
      <c r="C15" s="19"/>
      <c r="D15" s="20">
        <f>D13*30%</f>
        <v>1260</v>
      </c>
      <c r="J15" s="1"/>
    </row>
    <row r="16" spans="2:10" ht="19.5" customHeight="1">
      <c r="J16" s="1"/>
    </row>
    <row r="17" spans="1:4" ht="36" customHeight="1">
      <c r="B17" s="22" t="s">
        <v>4</v>
      </c>
      <c r="C17" s="22"/>
      <c r="D17" s="22"/>
    </row>
    <row r="18" spans="1:4" ht="18.75">
      <c r="B18" s="23" t="s">
        <v>5</v>
      </c>
      <c r="C18" s="23"/>
      <c r="D18" s="24">
        <v>1260</v>
      </c>
    </row>
    <row r="19" spans="1:4" ht="18.75">
      <c r="B19" s="23" t="s">
        <v>6</v>
      </c>
      <c r="C19" s="23"/>
      <c r="D19" s="25">
        <v>10</v>
      </c>
    </row>
    <row r="20" spans="1:4" ht="18.75">
      <c r="B20" s="23" t="s">
        <v>7</v>
      </c>
      <c r="C20" s="23"/>
      <c r="D20" s="26">
        <v>1.0789999999999999E-2</v>
      </c>
    </row>
    <row r="21" spans="1:4" ht="18.75">
      <c r="B21" s="27" t="s">
        <v>8</v>
      </c>
      <c r="C21" s="27"/>
      <c r="D21" s="28" cm="1">
        <f t="array" ref="D21">FV(tx_mensal,qtd_anos*12,aport*-1)</f>
        <v>306538.10778801696</v>
      </c>
    </row>
    <row r="22" spans="1:4" ht="18.75">
      <c r="B22" s="27" t="s">
        <v>9</v>
      </c>
      <c r="C22" s="27"/>
      <c r="D22" s="28" cm="1">
        <f t="array" ref="D22">patrimonio*Rendimento_Carteira</f>
        <v>1839.2286467281017</v>
      </c>
    </row>
    <row r="24" spans="1:4" ht="26.25">
      <c r="B24" s="22" t="s">
        <v>10</v>
      </c>
      <c r="C24" s="22"/>
      <c r="D24" s="29" t="s">
        <v>11</v>
      </c>
    </row>
    <row r="25" spans="1:4" ht="15.75">
      <c r="B25" s="30" t="s">
        <v>12</v>
      </c>
      <c r="C25" s="31">
        <f>FV($D$20,$A26*12,$D$18*-1)</f>
        <v>34306.810395032975</v>
      </c>
      <c r="D25" s="31" cm="1">
        <f t="array" ref="D25">C25*Rendimento_Carteira</f>
        <v>205.84086237019787</v>
      </c>
    </row>
    <row r="26" spans="1:4" ht="15.75">
      <c r="A26" s="2">
        <v>2</v>
      </c>
      <c r="B26" s="30" t="s">
        <v>13</v>
      </c>
      <c r="C26" s="31">
        <f>FV($D$20,$A27*12,$D$18*-1)</f>
        <v>105558.91163809443</v>
      </c>
      <c r="D26" s="31">
        <f>C26*$D$14</f>
        <v>633.35346982856663</v>
      </c>
    </row>
    <row r="27" spans="1:4" ht="15.75">
      <c r="A27" s="2">
        <v>5</v>
      </c>
      <c r="B27" s="30" t="s">
        <v>14</v>
      </c>
      <c r="C27" s="31">
        <f>FV($D$20,$A28*12,$D$18*-1)</f>
        <v>306538.10778801696</v>
      </c>
      <c r="D27" s="31">
        <f>C27*$D$14</f>
        <v>1839.2286467281017</v>
      </c>
    </row>
    <row r="28" spans="1:4" ht="15.75">
      <c r="A28" s="2">
        <v>10</v>
      </c>
      <c r="B28" s="30" t="s">
        <v>15</v>
      </c>
      <c r="C28" s="31">
        <f>FV($D$20,$A29*12,$D$18*-1)</f>
        <v>1417749.9841223215</v>
      </c>
      <c r="D28" s="31">
        <f>C28*$D$14</f>
        <v>8506.4999047339297</v>
      </c>
    </row>
    <row r="29" spans="1:4" ht="15.75">
      <c r="A29" s="2">
        <v>20</v>
      </c>
      <c r="B29" s="30" t="s">
        <v>16</v>
      </c>
      <c r="C29" s="31">
        <f>FV($D$20,$A30*12,$D$18*-1)</f>
        <v>5445933.7653059401</v>
      </c>
      <c r="D29" s="31">
        <f>C29*$D$14</f>
        <v>32675.602591835643</v>
      </c>
    </row>
    <row r="30" spans="1:4">
      <c r="A30" s="2">
        <v>30</v>
      </c>
    </row>
    <row r="32" spans="1:4">
      <c r="B32" s="5" t="s">
        <v>17</v>
      </c>
      <c r="C32" s="6" t="s">
        <v>18</v>
      </c>
      <c r="D32" s="7"/>
    </row>
    <row r="33" spans="2:4">
      <c r="B33" s="8" t="s">
        <v>19</v>
      </c>
      <c r="C33" s="9" cm="1">
        <f t="array" ref="C33">aport</f>
        <v>1260</v>
      </c>
      <c r="D33" s="8"/>
    </row>
    <row r="35" spans="2:4">
      <c r="B35" s="11" t="s">
        <v>20</v>
      </c>
      <c r="C35" s="11" t="s">
        <v>21</v>
      </c>
      <c r="D35" s="11" t="s">
        <v>22</v>
      </c>
    </row>
    <row r="36" spans="2:4">
      <c r="B36" s="3" t="s">
        <v>23</v>
      </c>
      <c r="C36" s="10">
        <f>VLOOKUP($C$32&amp;"-"&amp;B36,Planilha2!$C$2:$F$20,4,FALSE)</f>
        <v>0.3</v>
      </c>
      <c r="D36" s="14">
        <f>C36*$C$33</f>
        <v>378</v>
      </c>
    </row>
    <row r="37" spans="2:4">
      <c r="B37" s="3" t="s">
        <v>24</v>
      </c>
      <c r="C37" s="10">
        <f>VLOOKUP($C$32&amp;"-"&amp;B37,Planilha2!$C$2:$F$20,4,FALSE)</f>
        <v>0.5</v>
      </c>
      <c r="D37" s="14">
        <f t="shared" ref="D37:D41" si="0">C37*$C$33</f>
        <v>630</v>
      </c>
    </row>
    <row r="38" spans="2:4">
      <c r="B38" s="3" t="s">
        <v>25</v>
      </c>
      <c r="C38" s="10">
        <f>VLOOKUP($C$32&amp;"-"&amp;B38,Planilha2!$C$2:$F$20,4,FALSE)</f>
        <v>0.1</v>
      </c>
      <c r="D38" s="14">
        <f t="shared" si="0"/>
        <v>126</v>
      </c>
    </row>
    <row r="39" spans="2:4">
      <c r="B39" s="3" t="s">
        <v>26</v>
      </c>
      <c r="C39" s="10">
        <f>VLOOKUP($C$32&amp;"-"&amp;B39,Planilha2!$C$2:$F$20,4,FALSE)</f>
        <v>0.1</v>
      </c>
      <c r="D39" s="14">
        <f t="shared" si="0"/>
        <v>126</v>
      </c>
    </row>
    <row r="40" spans="2:4">
      <c r="B40" s="3" t="s">
        <v>27</v>
      </c>
      <c r="C40" s="10">
        <f>VLOOKUP($C$32&amp;"-"&amp;B40,Planilha2!$C$2:$F$20,4,FALSE)</f>
        <v>0</v>
      </c>
      <c r="D40" s="14">
        <f t="shared" si="0"/>
        <v>0</v>
      </c>
    </row>
    <row r="41" spans="2:4">
      <c r="B41" s="3" t="s">
        <v>28</v>
      </c>
      <c r="C41" s="10">
        <f>VLOOKUP($C$32&amp;"-"&amp;B41,Planilha2!$C$2:$F$20,4,FALSE)</f>
        <v>0</v>
      </c>
      <c r="D41" s="14">
        <f t="shared" si="0"/>
        <v>0</v>
      </c>
    </row>
    <row r="42" spans="2:4">
      <c r="B42" s="11"/>
      <c r="C42" s="12"/>
      <c r="D42" s="13">
        <f>SUM(D36:D41)</f>
        <v>1260</v>
      </c>
    </row>
    <row r="43" spans="2:4">
      <c r="B43" s="3"/>
    </row>
  </sheetData>
  <mergeCells count="11">
    <mergeCell ref="B12:D12"/>
    <mergeCell ref="B13:C13"/>
    <mergeCell ref="B14:C14"/>
    <mergeCell ref="B15:C15"/>
    <mergeCell ref="B24:C24"/>
    <mergeCell ref="B17:D17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2" xr:uid="{8EDB1F27-F600-4BF2-B80A-716104A09147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2C81-56C1-4FEC-AF77-A4C60FFC32E1}">
  <dimension ref="C2:F20"/>
  <sheetViews>
    <sheetView workbookViewId="0">
      <selection activeCell="I20" sqref="I20"/>
    </sheetView>
  </sheetViews>
  <sheetFormatPr defaultRowHeight="15"/>
  <cols>
    <col min="3" max="3" width="31.28515625" bestFit="1" customWidth="1"/>
    <col min="4" max="4" width="12.140625" bestFit="1" customWidth="1"/>
    <col min="5" max="5" width="19.28515625" bestFit="1" customWidth="1"/>
    <col min="11" max="11" width="9.28515625" customWidth="1"/>
  </cols>
  <sheetData>
    <row r="2" spans="3:6">
      <c r="C2" s="12" t="s">
        <v>29</v>
      </c>
      <c r="D2" s="12" t="s">
        <v>17</v>
      </c>
      <c r="E2" s="12" t="s">
        <v>30</v>
      </c>
      <c r="F2" s="12" t="s">
        <v>31</v>
      </c>
    </row>
    <row r="3" spans="3:6">
      <c r="C3" t="str">
        <f>D3&amp;"-"&amp;E3</f>
        <v>Conservador-PAPEL</v>
      </c>
      <c r="D3" t="s">
        <v>18</v>
      </c>
      <c r="E3" s="3" t="s">
        <v>23</v>
      </c>
      <c r="F3" s="10">
        <v>0.3</v>
      </c>
    </row>
    <row r="4" spans="3:6">
      <c r="C4" t="str">
        <f t="shared" ref="C4:C20" si="0">D4&amp;"-"&amp;E4</f>
        <v>Conservador-TIJOLO</v>
      </c>
      <c r="D4" t="s">
        <v>18</v>
      </c>
      <c r="E4" s="3" t="s">
        <v>24</v>
      </c>
      <c r="F4" s="10">
        <v>0.5</v>
      </c>
    </row>
    <row r="5" spans="3:6">
      <c r="C5" t="str">
        <f t="shared" si="0"/>
        <v>Conservador-HÍBRIDOS</v>
      </c>
      <c r="D5" t="s">
        <v>18</v>
      </c>
      <c r="E5" s="3" t="s">
        <v>25</v>
      </c>
      <c r="F5" s="10">
        <v>0.1</v>
      </c>
    </row>
    <row r="6" spans="3:6">
      <c r="C6" t="str">
        <f t="shared" si="0"/>
        <v>Conservador-FOFs</v>
      </c>
      <c r="D6" t="s">
        <v>18</v>
      </c>
      <c r="E6" s="3" t="s">
        <v>26</v>
      </c>
      <c r="F6" s="10">
        <v>0.1</v>
      </c>
    </row>
    <row r="7" spans="3:6">
      <c r="C7" t="str">
        <f t="shared" si="0"/>
        <v>Conservador-DESENVOLVIMENTO</v>
      </c>
      <c r="D7" t="s">
        <v>18</v>
      </c>
      <c r="E7" s="3" t="s">
        <v>27</v>
      </c>
      <c r="F7" s="10">
        <v>0</v>
      </c>
    </row>
    <row r="8" spans="3:6">
      <c r="C8" s="15" t="str">
        <f t="shared" si="0"/>
        <v>Conservador-HOTELARIAS</v>
      </c>
      <c r="D8" t="s">
        <v>18</v>
      </c>
      <c r="E8" s="16" t="s">
        <v>28</v>
      </c>
      <c r="F8" s="17">
        <v>0</v>
      </c>
    </row>
    <row r="9" spans="3:6">
      <c r="C9" t="str">
        <f>D9&amp;"-"&amp;E9</f>
        <v>Moderado-PAPEL</v>
      </c>
      <c r="D9" t="s">
        <v>32</v>
      </c>
      <c r="E9" s="3" t="s">
        <v>23</v>
      </c>
      <c r="F9" s="10">
        <v>0.32</v>
      </c>
    </row>
    <row r="10" spans="3:6">
      <c r="C10" t="str">
        <f t="shared" ref="C10:C14" si="1">D10&amp;"-"&amp;E10</f>
        <v>Moderado-TIJOLO</v>
      </c>
      <c r="D10" t="s">
        <v>32</v>
      </c>
      <c r="E10" s="3" t="s">
        <v>24</v>
      </c>
      <c r="F10" s="10">
        <v>0.35</v>
      </c>
    </row>
    <row r="11" spans="3:6">
      <c r="C11" t="str">
        <f t="shared" si="1"/>
        <v>Moderado-HÍBRIDOS</v>
      </c>
      <c r="D11" t="s">
        <v>32</v>
      </c>
      <c r="E11" s="3" t="s">
        <v>25</v>
      </c>
      <c r="F11" s="10">
        <v>0.08</v>
      </c>
    </row>
    <row r="12" spans="3:6">
      <c r="C12" t="str">
        <f t="shared" si="1"/>
        <v>Moderado-FOFs</v>
      </c>
      <c r="D12" t="s">
        <v>32</v>
      </c>
      <c r="E12" s="3" t="s">
        <v>26</v>
      </c>
      <c r="F12" s="10">
        <v>0.05</v>
      </c>
    </row>
    <row r="13" spans="3:6">
      <c r="C13" t="str">
        <f t="shared" si="1"/>
        <v>Moderado-DESENVOLVIMENTO</v>
      </c>
      <c r="D13" t="s">
        <v>32</v>
      </c>
      <c r="E13" s="3" t="s">
        <v>27</v>
      </c>
      <c r="F13" s="10">
        <v>0.1</v>
      </c>
    </row>
    <row r="14" spans="3:6">
      <c r="C14" t="str">
        <f t="shared" si="1"/>
        <v>Moderado-HOTELARIAS</v>
      </c>
      <c r="D14" s="15" t="s">
        <v>32</v>
      </c>
      <c r="E14" s="16" t="s">
        <v>28</v>
      </c>
      <c r="F14" s="17">
        <v>0.1</v>
      </c>
    </row>
    <row r="15" spans="3:6">
      <c r="C15" t="str">
        <f>D15&amp;"-"&amp;E15</f>
        <v>Agressivo-PAPEL</v>
      </c>
      <c r="D15" t="s">
        <v>33</v>
      </c>
      <c r="E15" s="3" t="s">
        <v>23</v>
      </c>
      <c r="F15" s="10">
        <v>0.5</v>
      </c>
    </row>
    <row r="16" spans="3:6">
      <c r="C16" t="str">
        <f t="shared" ref="C16:C20" si="2">D16&amp;"-"&amp;E16</f>
        <v>Agressivo-TIJOLO</v>
      </c>
      <c r="D16" t="s">
        <v>33</v>
      </c>
      <c r="E16" s="3" t="s">
        <v>24</v>
      </c>
      <c r="F16" s="10">
        <v>0.1</v>
      </c>
    </row>
    <row r="17" spans="3:6">
      <c r="C17" t="str">
        <f t="shared" si="2"/>
        <v>Agressivo-HÍBRIDOS</v>
      </c>
      <c r="D17" t="s">
        <v>33</v>
      </c>
      <c r="E17" s="3" t="s">
        <v>25</v>
      </c>
      <c r="F17" s="10">
        <v>0.05</v>
      </c>
    </row>
    <row r="18" spans="3:6">
      <c r="C18" t="str">
        <f t="shared" si="2"/>
        <v>Agressivo-FOFs</v>
      </c>
      <c r="D18" t="s">
        <v>33</v>
      </c>
      <c r="E18" s="3" t="s">
        <v>26</v>
      </c>
      <c r="F18" s="10">
        <v>0.05</v>
      </c>
    </row>
    <row r="19" spans="3:6">
      <c r="C19" t="str">
        <f t="shared" si="2"/>
        <v>Agressivo-DESENVOLVIMENTO</v>
      </c>
      <c r="D19" t="s">
        <v>33</v>
      </c>
      <c r="E19" s="3" t="s">
        <v>27</v>
      </c>
      <c r="F19" s="10">
        <v>0.2</v>
      </c>
    </row>
    <row r="20" spans="3:6">
      <c r="C20" t="str">
        <f t="shared" si="2"/>
        <v>Agressivo-HOTELARIAS</v>
      </c>
      <c r="D20" s="15" t="s">
        <v>33</v>
      </c>
      <c r="E20" s="16" t="s">
        <v>28</v>
      </c>
      <c r="F20" s="17">
        <v>0.1</v>
      </c>
    </row>
  </sheetData>
  <dataValidations count="1">
    <dataValidation type="list" allowBlank="1" showInputMessage="1" showErrorMessage="1" sqref="D3:D8" xr:uid="{6F0790C7-7EFA-4A2D-B29D-DDA30447B514}">
      <formula1>"Conservador,Moderado,Agressivo"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2026-09-23T18:22:41Z</dcterms:created>
  <dcterms:modified xsi:type="dcterms:W3CDTF">2026-09-24T01:29:48Z</dcterms:modified>
  <cp:category/>
  <cp:contentStatus/>
</cp:coreProperties>
</file>